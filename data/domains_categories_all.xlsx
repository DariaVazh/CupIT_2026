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<sst xmlns="http://schemas.openxmlformats.org/spreadsheetml/2006/main" count="19" uniqueCount="19">
  <si>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№</t>
  </si>
  <si>
    <t>Категория</t>
  </si>
  <si>
    <t>Всего упоминаний</t>
  </si>
  <si>
    <t>Количество доменов</t>
  </si>
  <si>
    <t>Суммарная доля, %</t>
  </si>
  <si>
    <t>Маркетплейсы и агрегаторы</t>
  </si>
  <si>
    <t>Сайты с отзывами и форумы</t>
  </si>
  <si>
    <t>Официальные сайты брендов</t>
  </si>
  <si>
    <t>Прочее</t>
  </si>
  <si>
    <t>Интернет-магазины (разные товары)</t>
  </si>
  <si>
    <t>Новостные и информационные сайты</t>
  </si>
  <si>
    <t>Аптеки и онлайн-аптеки</t>
  </si>
  <si>
    <t>Социальные сети и видео</t>
  </si>
  <si>
    <t>Детские товары и игрушки</t>
  </si>
  <si>
    <t>Стоматологические и медицинские порталы</t>
  </si>
  <si>
    <t>Научные и академические ресурсы</t>
  </si>
  <si>
    <t>Корпоративные сайты и холдинги</t>
  </si>
  <si>
    <t>Сайты с купонами, скидками и кэшбэком</t>
  </si>
  <si>
    <t>Справочные и энциклопедические сайты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</si>
</sst>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NumberFormat="1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E20" sqref="E20"/>
    </sheetView>
  </sheetViews>
  <sheetFormatPr defaultColWidth="8.88888888888889" defaultRowHeight="14.4" outlineLevelCol="4"/>
  <cols>
    <col min="1" max="1" width="5.66666666666667" customWidth="1"/>
    <col min="2" max="2" width="40.3333333333333" customWidth="1"/>
    <col min="5" max="5" width="18.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>
        <f>4473+1126</f>
        <v>5599</v>
      </c>
      <c r="D2" s="1">
        <f>142+36</f>
        <v>178</v>
      </c>
      <c r="E2" s="1">
        <f t="shared" ref="E2:E15" si="0">C2/$C$17*100</f>
        <v>31.1904629268564</v>
      </c>
    </row>
    <row r="3" spans="1:5">
      <c r="A3" s="1">
        <v>2</v>
      </c>
      <c r="B3" s="1" t="s">
        <v>6</v>
      </c>
      <c r="C3" s="1">
        <f>2708+541</f>
        <v>3249</v>
      </c>
      <c r="D3" s="1">
        <f>42+23</f>
        <v>65</v>
      </c>
      <c r="E3" s="1">
        <f t="shared" si="0"/>
        <v>18.0992702356415</v>
      </c>
    </row>
    <row r="4" spans="1:5">
      <c r="A4" s="1">
        <v>3</v>
      </c>
      <c r="B4" s="1" t="s">
        <v>7</v>
      </c>
      <c r="C4" s="1">
        <f>1407+3115</f>
        <v>4522</v>
      </c>
      <c r="D4" s="1">
        <f>27+56</f>
        <v>83</v>
      </c>
      <c r="E4" s="1">
        <f t="shared" si="0"/>
        <v>25.1907971700741</v>
      </c>
    </row>
    <row r="5" spans="1:5">
      <c r="A5" s="1">
        <v>4</v>
      </c>
      <c r="B5" s="1" t="s">
        <v>8</v>
      </c>
      <c r="C5" s="1">
        <f>989+612</f>
        <v>1601</v>
      </c>
      <c r="D5" s="1">
        <f>158+89</f>
        <v>247</v>
      </c>
      <c r="E5" s="1">
        <f t="shared" si="0"/>
        <v>8.91872319090858</v>
      </c>
    </row>
    <row r="6" spans="1:5">
      <c r="A6" s="1">
        <v>5</v>
      </c>
      <c r="B6" s="1" t="s">
        <v>9</v>
      </c>
      <c r="C6" s="1">
        <v>663</v>
      </c>
      <c r="D6" s="1">
        <v>14</v>
      </c>
      <c r="E6" s="1">
        <f t="shared" si="0"/>
        <v>3.69338755501086</v>
      </c>
    </row>
    <row r="7" spans="1:5">
      <c r="A7" s="1">
        <v>6</v>
      </c>
      <c r="B7" s="1" t="s">
        <v>10</v>
      </c>
      <c r="C7" s="1">
        <f>320+536</f>
        <v>856</v>
      </c>
      <c r="D7" s="1">
        <f>17+56</f>
        <v>73</v>
      </c>
      <c r="E7" s="1">
        <f t="shared" si="0"/>
        <v>4.76853657177873</v>
      </c>
    </row>
    <row r="8" spans="1:5">
      <c r="A8" s="1">
        <v>7</v>
      </c>
      <c r="B8" s="1" t="s">
        <v>11</v>
      </c>
      <c r="C8" s="1">
        <f>150+56</f>
        <v>206</v>
      </c>
      <c r="D8" s="1">
        <f>11+6</f>
        <v>17</v>
      </c>
      <c r="E8" s="1">
        <f t="shared" si="0"/>
        <v>1.14756838059161</v>
      </c>
    </row>
    <row r="9" spans="1:5">
      <c r="A9" s="1">
        <v>8</v>
      </c>
      <c r="B9" s="1" t="s">
        <v>12</v>
      </c>
      <c r="C9" s="1">
        <v>89</v>
      </c>
      <c r="D9" s="1">
        <v>7</v>
      </c>
      <c r="E9" s="1">
        <f t="shared" si="0"/>
        <v>0.495794106177929</v>
      </c>
    </row>
    <row r="10" spans="1:5">
      <c r="A10" s="1">
        <v>9</v>
      </c>
      <c r="B10" s="1" t="s">
        <v>13</v>
      </c>
      <c r="C10" s="1">
        <v>86</v>
      </c>
      <c r="D10" s="1">
        <v>11</v>
      </c>
      <c r="E10" s="1">
        <f t="shared" si="0"/>
        <v>0.479081945295527</v>
      </c>
    </row>
    <row r="11" spans="1:5">
      <c r="A11" s="1">
        <v>10</v>
      </c>
      <c r="B11" s="1" t="s">
        <v>14</v>
      </c>
      <c r="C11" s="1">
        <f>67+910</f>
        <v>977</v>
      </c>
      <c r="D11" s="1">
        <v>67</v>
      </c>
      <c r="E11" s="1">
        <f t="shared" si="0"/>
        <v>5.44259372736895</v>
      </c>
    </row>
    <row r="12" spans="1:5">
      <c r="A12" s="1">
        <v>11</v>
      </c>
      <c r="B12" s="1" t="s">
        <v>15</v>
      </c>
      <c r="C12" s="1">
        <f>54+21</f>
        <v>75</v>
      </c>
      <c r="D12" s="1">
        <v>9</v>
      </c>
      <c r="E12" s="1">
        <f t="shared" si="0"/>
        <v>0.417804022060052</v>
      </c>
    </row>
    <row r="13" spans="1:5">
      <c r="A13" s="1">
        <v>12</v>
      </c>
      <c r="B13" s="1" t="s">
        <v>16</v>
      </c>
      <c r="C13" s="1">
        <v>12</v>
      </c>
      <c r="D13" s="1">
        <v>2</v>
      </c>
      <c r="E13" s="1">
        <f t="shared" si="0"/>
        <v>0.0668486435296084</v>
      </c>
    </row>
    <row r="14" spans="1:5">
      <c r="A14" s="1">
        <v>13</v>
      </c>
      <c r="B14" s="1" t="s">
        <v>17</v>
      </c>
      <c r="C14" s="1">
        <v>4</v>
      </c>
      <c r="D14" s="1">
        <v>1</v>
      </c>
      <c r="E14" s="1">
        <f t="shared" si="0"/>
        <v>0.0222828811765361</v>
      </c>
    </row>
    <row r="15" spans="1:5">
      <c r="A15" s="1">
        <v>14</v>
      </c>
      <c r="B15" s="1" t="s">
        <v>18</v>
      </c>
      <c r="C15" s="1">
        <v>12</v>
      </c>
      <c r="D15" s="1">
        <v>2</v>
      </c>
      <c r="E15" s="1">
        <f t="shared" si="0"/>
        <v>0.0668486435296084</v>
      </c>
    </row>
    <row r="17" spans="3:3">
      <c r="C17" s="2">
        <f>SUM(C2:C15)</f>
        <v>17951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dvago</dc:creator>
  <cp:lastModifiedBy>Дарья Важова</cp:lastModifiedBy>
  <dcterms:created xsi:type="dcterms:W3CDTF">2026-03-15T15:00:25Z</dcterms:created>
  <dcterms:modified xsi:type="dcterms:W3CDTF">2026-03-15T15:00:58Z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4C52C71E6A2E4CFDBADB437F5467E2B5_11</vt:lpwstr>
  </property>
  <property fmtid="{D5CDD505-2E9C-101B-9397-08002B2CF9AE}" pid="3" name="KSOProductBuildVer">
    <vt:lpwstr>1049-12.2.0.23196</vt:lpwstr>
  </property>
</Properties>
</file>